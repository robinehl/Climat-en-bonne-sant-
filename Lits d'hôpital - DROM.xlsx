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hl\Box\0FR - Equipe PIC\Adaptation juste\Projets\Santé et climat\Calculs\"/>
    </mc:Choice>
  </mc:AlternateContent>
  <xr:revisionPtr revIDLastSave="0" documentId="8_{32866766-BF5F-4726-8FBD-D7720481C816}" xr6:coauthVersionLast="47" xr6:coauthVersionMax="47" xr10:uidLastSave="{00000000-0000-0000-0000-000000000000}"/>
  <bookViews>
    <workbookView xWindow="2160" yWindow="2160" windowWidth="21600" windowHeight="11295" xr2:uid="{0FA5FE41-A271-4FA6-AEAC-1D642E1EBBCE}"/>
  </bookViews>
  <sheets>
    <sheet name="Offre hospitalière" sheetId="1" r:id="rId1"/>
    <sheet name="Population par département" sheetId="2" r:id="rId2"/>
    <sheet name="Taux lits par habitant·e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8" i="3"/>
  <c r="C8" i="3"/>
  <c r="D7" i="3"/>
  <c r="C7" i="3"/>
  <c r="B7" i="3"/>
  <c r="E7" i="3" s="1"/>
  <c r="D6" i="3"/>
  <c r="C6" i="3"/>
  <c r="B6" i="3"/>
  <c r="E6" i="3" s="1"/>
  <c r="D5" i="3"/>
  <c r="C5" i="3"/>
  <c r="B5" i="3"/>
  <c r="E5" i="3" s="1"/>
  <c r="D4" i="3"/>
  <c r="C4" i="3"/>
  <c r="B4" i="3"/>
  <c r="E4" i="3" s="1"/>
  <c r="D3" i="3"/>
  <c r="C3" i="3"/>
  <c r="B3" i="3"/>
  <c r="E3" i="3" s="1"/>
  <c r="E2" i="3"/>
  <c r="D2" i="3"/>
  <c r="C2" i="3"/>
  <c r="B2" i="3"/>
  <c r="B8" i="3" s="1"/>
</calcChain>
</file>

<file path=xl/sharedStrings.xml><?xml version="1.0" encoding="utf-8"?>
<sst xmlns="http://schemas.openxmlformats.org/spreadsheetml/2006/main" count="31" uniqueCount="19">
  <si>
    <t>Lits médecine, chirurgie, obstétrique et odontologie</t>
  </si>
  <si>
    <t>Lits psychiatrie</t>
  </si>
  <si>
    <t>Lits soins médicaux et de réadaptation</t>
  </si>
  <si>
    <t>Lits soins de longue durée</t>
  </si>
  <si>
    <t>Places médecine, chirurgie, obstétrique et odontologie</t>
  </si>
  <si>
    <t>Places psychiatrie</t>
  </si>
  <si>
    <t>Places soins médicaux et de réadaptation</t>
  </si>
  <si>
    <t>Guadeloupe</t>
  </si>
  <si>
    <t>Martinique</t>
  </si>
  <si>
    <t>Guyane</t>
  </si>
  <si>
    <t>La Réunion</t>
  </si>
  <si>
    <t>Mayotte</t>
  </si>
  <si>
    <t>Hexagone &amp; Corse</t>
  </si>
  <si>
    <t>Nombre d'habitants</t>
  </si>
  <si>
    <t>Offre total</t>
  </si>
  <si>
    <t>Taux lits</t>
  </si>
  <si>
    <t>Taux places</t>
  </si>
  <si>
    <t>Taux total offre hospitalière</t>
  </si>
  <si>
    <t>Ensemble de tous les départements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</si>
</sst>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3" fontId="0" fillId="0" borderId="0" xfId="0" applyNumberFormat="1"/>
    <xf numFmtId="3" fontId="2" fillId="0" borderId="0" xfId="0" applyNumberFormat="1" applyFo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pi.box.com/wopi/files/2052947303519/WOPIServiceId_TP_BOX_2/WOPIUserId_-/Capacit&#233;s%20hospitali&#232;res.xlsx" TargetMode="External"/><Relationship Id="rId1" Type="http://schemas.openxmlformats.org/officeDocument/2006/relationships/externalLinkPath" Target="https://api.box.com/wopi/files/2052947303519/WOPIServiceId_TP_BOX_2/WOPIUserId_-/Capacit&#233;s%20hospitali&#232;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 offre hospitalier"/>
      <sheetName val="Données population"/>
      <sheetName val="Taux d'offre par habitant·e"/>
      <sheetName val="Sources"/>
    </sheetNames>
    <sheetDataSet>
      <sheetData sheetId="0">
        <row r="2">
          <cell r="B2">
            <v>1095</v>
          </cell>
          <cell r="C2">
            <v>275</v>
          </cell>
          <cell r="D2">
            <v>763</v>
          </cell>
          <cell r="E2">
            <v>128</v>
          </cell>
          <cell r="F2">
            <v>235</v>
          </cell>
          <cell r="G2">
            <v>193</v>
          </cell>
          <cell r="H2">
            <v>201</v>
          </cell>
        </row>
        <row r="3">
          <cell r="B3">
            <v>879</v>
          </cell>
          <cell r="C3">
            <v>279</v>
          </cell>
          <cell r="D3">
            <v>566</v>
          </cell>
          <cell r="E3">
            <v>103</v>
          </cell>
          <cell r="F3">
            <v>165</v>
          </cell>
          <cell r="G3">
            <v>90</v>
          </cell>
          <cell r="H3">
            <v>75</v>
          </cell>
        </row>
        <row r="4">
          <cell r="B4">
            <v>722</v>
          </cell>
          <cell r="C4">
            <v>71</v>
          </cell>
          <cell r="D4">
            <v>127</v>
          </cell>
          <cell r="E4">
            <v>30</v>
          </cell>
          <cell r="F4">
            <v>94</v>
          </cell>
          <cell r="G4">
            <v>42</v>
          </cell>
          <cell r="H4">
            <v>89</v>
          </cell>
        </row>
        <row r="5">
          <cell r="B5">
            <v>2186</v>
          </cell>
          <cell r="C5">
            <v>540</v>
          </cell>
          <cell r="D5">
            <v>953</v>
          </cell>
          <cell r="E5">
            <v>82</v>
          </cell>
          <cell r="F5">
            <v>398</v>
          </cell>
          <cell r="G5">
            <v>281</v>
          </cell>
          <cell r="H5">
            <v>695</v>
          </cell>
        </row>
        <row r="6">
          <cell r="B6">
            <v>404</v>
          </cell>
          <cell r="C6">
            <v>10</v>
          </cell>
          <cell r="D6">
            <v>50</v>
          </cell>
          <cell r="E6">
            <v>0</v>
          </cell>
          <cell r="F6">
            <v>36</v>
          </cell>
          <cell r="G6">
            <v>0</v>
          </cell>
          <cell r="H6">
            <v>5</v>
          </cell>
        </row>
        <row r="7">
          <cell r="B7">
            <v>182279</v>
          </cell>
          <cell r="C7">
            <v>50007</v>
          </cell>
          <cell r="D7">
            <v>98908</v>
          </cell>
          <cell r="E7">
            <v>28906</v>
          </cell>
          <cell r="F7">
            <v>38008</v>
          </cell>
          <cell r="G7">
            <v>29635</v>
          </cell>
          <cell r="H7">
            <v>18229</v>
          </cell>
        </row>
      </sheetData>
      <sheetData sheetId="1">
        <row r="2">
          <cell r="B2">
            <v>380387</v>
          </cell>
        </row>
        <row r="3">
          <cell r="B3">
            <v>355459</v>
          </cell>
        </row>
        <row r="4">
          <cell r="B4">
            <v>292354</v>
          </cell>
        </row>
        <row r="5">
          <cell r="B5">
            <v>896175</v>
          </cell>
        </row>
        <row r="6">
          <cell r="B6">
            <v>329282</v>
          </cell>
        </row>
        <row r="7">
          <cell r="B7">
            <v>66351959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00E16-DEA6-4602-A49B-612477F09121}">
  <dimension ref="A1:H7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RowHeight="15" x14ac:dyDescent="0.25"/>
  <sheetData>
    <row r="1" spans="1:8" x14ac:dyDescent="0.25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25">
      <c r="A2" s="1" t="s">
        <v>7</v>
      </c>
      <c r="B2">
        <v>1095</v>
      </c>
      <c r="C2">
        <v>275</v>
      </c>
      <c r="D2">
        <v>763</v>
      </c>
      <c r="E2">
        <v>128</v>
      </c>
      <c r="F2">
        <v>235</v>
      </c>
      <c r="G2">
        <v>193</v>
      </c>
      <c r="H2">
        <v>201</v>
      </c>
    </row>
    <row r="3" spans="1:8" x14ac:dyDescent="0.25">
      <c r="A3" s="1" t="s">
        <v>8</v>
      </c>
      <c r="B3">
        <v>879</v>
      </c>
      <c r="C3">
        <v>279</v>
      </c>
      <c r="D3">
        <v>566</v>
      </c>
      <c r="E3">
        <v>103</v>
      </c>
      <c r="F3">
        <v>165</v>
      </c>
      <c r="G3">
        <v>90</v>
      </c>
      <c r="H3">
        <v>75</v>
      </c>
    </row>
    <row r="4" spans="1:8" x14ac:dyDescent="0.25">
      <c r="A4" s="1" t="s">
        <v>9</v>
      </c>
      <c r="B4">
        <v>722</v>
      </c>
      <c r="C4">
        <v>71</v>
      </c>
      <c r="D4">
        <v>127</v>
      </c>
      <c r="E4">
        <v>30</v>
      </c>
      <c r="F4">
        <v>94</v>
      </c>
      <c r="G4">
        <v>42</v>
      </c>
      <c r="H4">
        <v>89</v>
      </c>
    </row>
    <row r="5" spans="1:8" x14ac:dyDescent="0.25">
      <c r="A5" s="1" t="s">
        <v>10</v>
      </c>
      <c r="B5">
        <v>2186</v>
      </c>
      <c r="C5">
        <v>540</v>
      </c>
      <c r="D5">
        <v>953</v>
      </c>
      <c r="E5">
        <v>82</v>
      </c>
      <c r="F5">
        <v>398</v>
      </c>
      <c r="G5">
        <v>281</v>
      </c>
      <c r="H5">
        <v>695</v>
      </c>
    </row>
    <row r="6" spans="1:8" x14ac:dyDescent="0.25">
      <c r="A6" s="1" t="s">
        <v>11</v>
      </c>
      <c r="B6">
        <v>404</v>
      </c>
      <c r="C6">
        <v>10</v>
      </c>
      <c r="D6">
        <v>50</v>
      </c>
      <c r="E6">
        <v>0</v>
      </c>
      <c r="F6">
        <v>36</v>
      </c>
      <c r="G6">
        <v>0</v>
      </c>
      <c r="H6">
        <v>5</v>
      </c>
    </row>
    <row r="7" spans="1:8" x14ac:dyDescent="0.25">
      <c r="A7" s="1" t="s">
        <v>12</v>
      </c>
      <c r="B7" s="2">
        <v>182279</v>
      </c>
      <c r="C7">
        <v>50007</v>
      </c>
      <c r="D7">
        <v>98908</v>
      </c>
      <c r="E7">
        <v>28906</v>
      </c>
      <c r="F7">
        <v>38008</v>
      </c>
      <c r="G7">
        <v>29635</v>
      </c>
      <c r="H7">
        <v>18229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1AD9-5861-4249-BEF5-3D2348AC0401}">
  <dimension ref="A1:B7"/>
  <sheetViews>
    <sheetView workbookViewId="0">
      <pane ySplit="1" topLeftCell="A2" activePane="bottomLeft" state="frozen"/>
      <selection pane="bottomLeft" activeCell="B1" sqref="B1"/>
    </sheetView>
  </sheetViews>
  <sheetFormatPr baseColWidth="10" defaultRowHeight="15" x14ac:dyDescent="0.25"/>
  <sheetData>
    <row r="1" spans="1:2" x14ac:dyDescent="0.25">
      <c r="A1" s="1"/>
      <c r="B1" s="1" t="s">
        <v>13</v>
      </c>
    </row>
    <row r="2" spans="1:2" x14ac:dyDescent="0.25">
      <c r="A2" s="1" t="s">
        <v>7</v>
      </c>
      <c r="B2" s="3">
        <v>380387</v>
      </c>
    </row>
    <row r="3" spans="1:2" x14ac:dyDescent="0.25">
      <c r="A3" s="1" t="s">
        <v>8</v>
      </c>
      <c r="B3" s="3">
        <v>355459</v>
      </c>
    </row>
    <row r="4" spans="1:2" x14ac:dyDescent="0.25">
      <c r="A4" s="1" t="s">
        <v>9</v>
      </c>
      <c r="B4" s="3">
        <v>292354</v>
      </c>
    </row>
    <row r="5" spans="1:2" x14ac:dyDescent="0.25">
      <c r="A5" s="1" t="s">
        <v>10</v>
      </c>
      <c r="B5" s="3">
        <v>896175</v>
      </c>
    </row>
    <row r="6" spans="1:2" x14ac:dyDescent="0.25">
      <c r="A6" s="1" t="s">
        <v>11</v>
      </c>
      <c r="B6" s="3">
        <v>329282</v>
      </c>
    </row>
    <row r="7" spans="1:2" x14ac:dyDescent="0.25">
      <c r="A7" s="1" t="s">
        <v>12</v>
      </c>
      <c r="B7" s="2">
        <v>66351959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4444D-916E-48C1-9105-113F6840E47E}">
  <dimension ref="A1:E8"/>
  <sheetViews>
    <sheetView workbookViewId="0">
      <pane ySplit="1" topLeftCell="A2" activePane="bottomLeft" state="frozen"/>
      <selection pane="bottomLeft" activeCell="A9" sqref="A9"/>
    </sheetView>
  </sheetViews>
  <sheetFormatPr baseColWidth="10" defaultRowHeight="15" x14ac:dyDescent="0.25"/>
  <sheetData>
    <row r="1" spans="1:5" x14ac:dyDescent="0.25">
      <c r="A1" s="1"/>
      <c r="B1" s="1" t="s">
        <v>14</v>
      </c>
      <c r="C1" s="1" t="s">
        <v>15</v>
      </c>
      <c r="D1" s="1" t="s">
        <v>16</v>
      </c>
      <c r="E1" s="1" t="s">
        <v>17</v>
      </c>
    </row>
    <row r="2" spans="1:5" x14ac:dyDescent="0.25">
      <c r="A2" s="1" t="s">
        <v>7</v>
      </c>
      <c r="B2" s="3">
        <f>SUM('[1]Données offre hospitalier'!B2:H2)</f>
        <v>2890</v>
      </c>
      <c r="C2">
        <f>SUM('[1]Données offre hospitalier'!B2:E2)/'[1]Données population'!B2</f>
        <v>5.943946559687897E-3</v>
      </c>
      <c r="D2">
        <f>SUM('[1]Données offre hospitalier'!F2:H2)/'[1]Données population'!B2</f>
        <v>1.6535791181086631E-3</v>
      </c>
      <c r="E2">
        <f>B2/'[1]Données population'!B2</f>
        <v>7.5975256777965601E-3</v>
      </c>
    </row>
    <row r="3" spans="1:5" x14ac:dyDescent="0.25">
      <c r="A3" s="1" t="s">
        <v>8</v>
      </c>
      <c r="B3" s="3">
        <f>SUM('[1]Données offre hospitalier'!B3:H3)</f>
        <v>2157</v>
      </c>
      <c r="C3">
        <f>SUM('[1]Données offre hospitalier'!B3:E3)/'[1]Données population'!B3</f>
        <v>5.1398332859767231E-3</v>
      </c>
      <c r="D3">
        <f>SUM('[1]Données offre hospitalier'!F3:H3)/'[1]Données population'!B3</f>
        <v>9.2837711240958878E-4</v>
      </c>
      <c r="E3">
        <f>B3/'[1]Données population'!B3</f>
        <v>6.0682103983863119E-3</v>
      </c>
    </row>
    <row r="4" spans="1:5" x14ac:dyDescent="0.25">
      <c r="A4" s="1" t="s">
        <v>9</v>
      </c>
      <c r="B4" s="3">
        <f>SUM('[1]Données offre hospitalier'!B4:H4)</f>
        <v>1175</v>
      </c>
      <c r="C4">
        <f>SUM('[1]Données offre hospitalier'!B4:E4)/'[1]Données population'!B4</f>
        <v>3.2494852131320249E-3</v>
      </c>
      <c r="D4">
        <f>SUM('[1]Données offre hospitalier'!F4:H4)/'[1]Données population'!B4</f>
        <v>7.6961491889969012E-4</v>
      </c>
      <c r="E4">
        <f>B4/'[1]Données population'!B4</f>
        <v>4.0191001320317148E-3</v>
      </c>
    </row>
    <row r="5" spans="1:5" x14ac:dyDescent="0.25">
      <c r="A5" s="1" t="s">
        <v>10</v>
      </c>
      <c r="B5" s="3">
        <f>SUM('[1]Données offre hospitalier'!B5:H5)</f>
        <v>5135</v>
      </c>
      <c r="C5">
        <f>SUM('[1]Données offre hospitalier'!B5:E5)/'[1]Données population'!B5</f>
        <v>4.1967249700114373E-3</v>
      </c>
      <c r="D5">
        <f>SUM('[1]Données offre hospitalier'!F5:H5)/'[1]Données population'!B5</f>
        <v>1.5331826931123944E-3</v>
      </c>
      <c r="E5">
        <f>B5/'[1]Données population'!B5</f>
        <v>5.7299076631238321E-3</v>
      </c>
    </row>
    <row r="6" spans="1:5" x14ac:dyDescent="0.25">
      <c r="A6" s="1" t="s">
        <v>11</v>
      </c>
      <c r="B6" s="3">
        <f>SUM('[1]Données offre hospitalier'!B6:H6)</f>
        <v>505</v>
      </c>
      <c r="C6">
        <f>SUM('[1]Données offre hospitalier'!B6:E6)/'[1]Données population'!B6</f>
        <v>1.4091265237698993E-3</v>
      </c>
      <c r="D6">
        <f>SUM('[1]Données offre hospitalier'!F6:H6)/'[1]Données population'!B6</f>
        <v>1.2451333507449542E-4</v>
      </c>
      <c r="E6">
        <f>B6/'[1]Données population'!B6</f>
        <v>1.5336398588443947E-3</v>
      </c>
    </row>
    <row r="7" spans="1:5" x14ac:dyDescent="0.25">
      <c r="A7" s="1" t="s">
        <v>12</v>
      </c>
      <c r="B7" s="3">
        <f>SUM('[1]Données offre hospitalier'!B7:H7)</f>
        <v>445972</v>
      </c>
      <c r="C7">
        <f>SUM('[1]Données offre hospitalier'!B7:E7)/'[1]Données population'!B7</f>
        <v>5.4271193409677629E-3</v>
      </c>
      <c r="D7">
        <f>SUM('[1]Données offre hospitalier'!F7:H7)/'[1]Données population'!B7</f>
        <v>1.2941893697516905E-3</v>
      </c>
      <c r="E7">
        <f>B7/'[1]Données population'!B7</f>
        <v>6.7213087107194525E-3</v>
      </c>
    </row>
    <row r="8" spans="1:5" x14ac:dyDescent="0.25">
      <c r="A8" s="1" t="s">
        <v>18</v>
      </c>
      <c r="B8" s="2">
        <f>SUM(B2:B7)</f>
        <v>457834</v>
      </c>
      <c r="C8">
        <f>(SUM('[1]Données offre hospitalier'!B2:E7)/(SUM('[1]Données population'!B2:B7)))</f>
        <v>5.3838595370967884E-3</v>
      </c>
      <c r="D8">
        <f>(SUM('[1]Données offre hospitalier'!F2:H7)/SUM('[1]Données population'!B2:B7))</f>
        <v>1.2895591521253887E-3</v>
      </c>
      <c r="E8">
        <f>(SUM('[1]Données offre hospitalier'!B2:H7)/SUM('[1]Données population'!B2:B7))</f>
        <v>6.6734186892221771E-3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Offre hospitalière</vt:lpstr>
      <vt:lpstr>Population par département</vt:lpstr>
      <vt:lpstr>Taux lits par habitant·e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Ehl</dc:creator>
  <cp:lastModifiedBy>Robin Ehl</cp:lastModifiedBy>
  <dcterms:created xsi:type="dcterms:W3CDTF">2026-03-19T18:36:55Z</dcterms:created>
  <dcterms:modified xsi:type="dcterms:W3CDTF">2026-03-19T18:44:05Z</dcterms:modified>
</cp:coreProperties>
</file>