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170523231234/WOPIServiceId_TP_BOX_2/WOPIUserId_-/"/>
    </mc:Choice>
  </mc:AlternateContent>
  <xr:revisionPtr revIDLastSave="0" documentId="8_{8F551E61-2F43-494D-808D-522555319623}" xr6:coauthVersionLast="47" xr6:coauthVersionMax="47" xr10:uidLastSave="{00000000-0000-0000-0000-000000000000}"/>
  <bookViews>
    <workbookView xWindow="-120" yWindow="-120" windowWidth="29040" windowHeight="15720" xr2:uid="{0FA5FE41-A271-4FA6-AEAC-1D642E1EBBCE}"/>
  </bookViews>
  <sheets>
    <sheet name="Taux lits par habitant·e" sheetId="3" r:id="rId1"/>
    <sheet name="Offre hospitalière" sheetId="1" r:id="rId2"/>
    <sheet name="Population par département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3" l="1"/>
  <c r="E3" i="3"/>
  <c r="E4" i="3"/>
  <c r="E5" i="3"/>
  <c r="E6" i="3"/>
  <c r="E7" i="3"/>
  <c r="E2" i="3"/>
  <c r="D8" i="3"/>
  <c r="D3" i="3"/>
  <c r="D4" i="3"/>
  <c r="D5" i="3"/>
  <c r="D6" i="3"/>
  <c r="D7" i="3"/>
  <c r="D2" i="3"/>
  <c r="C8" i="3"/>
  <c r="C3" i="3"/>
  <c r="C4" i="3"/>
  <c r="C5" i="3"/>
  <c r="C6" i="3"/>
  <c r="C7" i="3"/>
  <c r="C2" i="3"/>
  <c r="B8" i="3"/>
  <c r="B3" i="3"/>
  <c r="B4" i="3"/>
  <c r="B5" i="3"/>
  <c r="B6" i="3"/>
  <c r="B7" i="3"/>
  <c r="B2" i="3"/>
</calcChain>
</file>

<file path=xl/sharedStrings.xml><?xml version="1.0" encoding="utf-8"?>
<sst xmlns="http://schemas.openxmlformats.org/spreadsheetml/2006/main" count="31" uniqueCount="19">
  <si>
    <t>Lits médecine, chirurgie, obstétrique et odontologie</t>
  </si>
  <si>
    <t>Lits psychiatrie</t>
  </si>
  <si>
    <t>Lits soins médicaux et de réadaptation</t>
  </si>
  <si>
    <t>Lits soins de longue durée</t>
  </si>
  <si>
    <t>Places médecine, chirurgie, obstétrique et odontologie</t>
  </si>
  <si>
    <t>Places psychiatrie</t>
  </si>
  <si>
    <t>Places soins médicaux et de réadaptation</t>
  </si>
  <si>
    <t>Guadeloupe</t>
  </si>
  <si>
    <t>Martinique</t>
  </si>
  <si>
    <t>Guyane</t>
  </si>
  <si>
    <t>La Réunion</t>
  </si>
  <si>
    <t>Mayotte</t>
  </si>
  <si>
    <t>Hexagone &amp; Corse</t>
  </si>
  <si>
    <t>Nombre d'habitants</t>
  </si>
  <si>
    <t>Taux lits</t>
  </si>
  <si>
    <t>Ensemble de tous les départements</t>
  </si>
  <si>
    <t>Offre lits &amp; places</t>
  </si>
  <si>
    <t>Offre lits</t>
  </si>
  <si>
    <t>Lits par habitant·e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</si>
</sst>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3" fontId="0" fillId="0" borderId="0" xfId="0" applyNumberFormat="1"/>
    <xf numFmtId="3" fontId="2" fillId="0" borderId="0" xfId="0" applyNumberFormat="1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4444D-916E-48C1-9105-113F6840E47E}">
  <dimension ref="A1:E8"/>
  <sheetViews>
    <sheetView tabSelected="1" workbookViewId="0">
      <pane ySplit="1" topLeftCell="A2" activePane="bottomLeft" state="frozen"/>
      <selection pane="bottomLeft" activeCell="E9" sqref="E9"/>
    </sheetView>
  </sheetViews>
  <sheetFormatPr baseColWidth="10" defaultRowHeight="15" x14ac:dyDescent="0.25"/>
  <sheetData>
    <row r="1" spans="1:5" x14ac:dyDescent="0.25">
      <c r="A1" s="1"/>
      <c r="B1" s="1" t="s">
        <v>16</v>
      </c>
      <c r="C1" s="1" t="s">
        <v>17</v>
      </c>
      <c r="D1" s="1" t="s">
        <v>14</v>
      </c>
      <c r="E1" s="1" t="s">
        <v>18</v>
      </c>
    </row>
    <row r="2" spans="1:5" x14ac:dyDescent="0.25">
      <c r="A2" s="1" t="s">
        <v>7</v>
      </c>
      <c r="B2" s="3">
        <f>SUM('Offre hospitalière'!B2:H2)</f>
        <v>2890</v>
      </c>
      <c r="C2">
        <f>SUM('Offre hospitalière'!B2:E2)</f>
        <v>2261</v>
      </c>
      <c r="D2">
        <f>C2/'Population par département'!B2</f>
        <v>5.943946559687897E-3</v>
      </c>
      <c r="E2">
        <f>'Population par département'!B2/'Taux lits par habitant·e'!C2</f>
        <v>168.23839009287926</v>
      </c>
    </row>
    <row r="3" spans="1:5" x14ac:dyDescent="0.25">
      <c r="A3" s="1" t="s">
        <v>8</v>
      </c>
      <c r="B3" s="3">
        <f>SUM('Offre hospitalière'!B3:H3)</f>
        <v>2157</v>
      </c>
      <c r="C3">
        <f>SUM('Offre hospitalière'!B3:E3)</f>
        <v>1827</v>
      </c>
      <c r="D3">
        <f>C3/'Population par département'!B3</f>
        <v>5.1398332859767231E-3</v>
      </c>
      <c r="E3">
        <f>'Population par département'!B3/'Taux lits par habitant·e'!C3</f>
        <v>194.55883962780516</v>
      </c>
    </row>
    <row r="4" spans="1:5" x14ac:dyDescent="0.25">
      <c r="A4" s="1" t="s">
        <v>9</v>
      </c>
      <c r="B4" s="3">
        <f>SUM('Offre hospitalière'!B4:H4)</f>
        <v>1175</v>
      </c>
      <c r="C4">
        <f>SUM('Offre hospitalière'!B4:E4)</f>
        <v>950</v>
      </c>
      <c r="D4">
        <f>C4/'Population par département'!B4</f>
        <v>3.2494852131320249E-3</v>
      </c>
      <c r="E4">
        <f>'Population par département'!B4/'Taux lits par habitant·e'!C4</f>
        <v>307.74105263157895</v>
      </c>
    </row>
    <row r="5" spans="1:5" x14ac:dyDescent="0.25">
      <c r="A5" s="1" t="s">
        <v>10</v>
      </c>
      <c r="B5" s="3">
        <f>SUM('Offre hospitalière'!B5:H5)</f>
        <v>5135</v>
      </c>
      <c r="C5">
        <f>SUM('Offre hospitalière'!B5:E5)</f>
        <v>3761</v>
      </c>
      <c r="D5">
        <f>C5/'Population par département'!B5</f>
        <v>4.1967249700114373E-3</v>
      </c>
      <c r="E5">
        <f>'Population par département'!B5/'Taux lits par habitant·e'!C5</f>
        <v>238.28104227599042</v>
      </c>
    </row>
    <row r="6" spans="1:5" x14ac:dyDescent="0.25">
      <c r="A6" s="1" t="s">
        <v>11</v>
      </c>
      <c r="B6" s="3">
        <f>SUM('Offre hospitalière'!B6:H6)</f>
        <v>505</v>
      </c>
      <c r="C6">
        <f>SUM('Offre hospitalière'!B6:E6)</f>
        <v>464</v>
      </c>
      <c r="D6">
        <f>C6/'Population par département'!B6</f>
        <v>1.4091265237698993E-3</v>
      </c>
      <c r="E6">
        <f>'Population par département'!B6/'Taux lits par habitant·e'!C6</f>
        <v>709.6594827586207</v>
      </c>
    </row>
    <row r="7" spans="1:5" x14ac:dyDescent="0.25">
      <c r="A7" s="1" t="s">
        <v>12</v>
      </c>
      <c r="B7" s="3">
        <f>SUM('Offre hospitalière'!B7:H7)</f>
        <v>445972</v>
      </c>
      <c r="C7">
        <f>SUM('Offre hospitalière'!B7:E7)</f>
        <v>360100</v>
      </c>
      <c r="D7">
        <f>C7/'Population par département'!B7</f>
        <v>5.4271193409677629E-3</v>
      </c>
      <c r="E7">
        <f>'Population par département'!B7/'Taux lits par habitant·e'!C7</f>
        <v>184.25981394057206</v>
      </c>
    </row>
    <row r="8" spans="1:5" x14ac:dyDescent="0.25">
      <c r="A8" s="1" t="s">
        <v>15</v>
      </c>
      <c r="B8" s="3">
        <f>SUM(B2:B7)</f>
        <v>457834</v>
      </c>
      <c r="C8">
        <f>SUM(C2:C7)</f>
        <v>369363</v>
      </c>
      <c r="D8">
        <f>C8/SUM('Population par département'!B2:B7)</f>
        <v>5.3838595370967884E-3</v>
      </c>
      <c r="E8">
        <f>SUM('Population par département'!B2:B7)/'Taux lits par habitant·e'!C8</f>
        <v>185.74035840081439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00E16-DEA6-4602-A49B-612477F09121}">
  <dimension ref="A1:H7"/>
  <sheetViews>
    <sheetView workbookViewId="0">
      <pane ySplit="1" topLeftCell="A2" activePane="bottomLeft" state="frozen"/>
      <selection pane="bottomLeft" activeCell="E1" sqref="E1"/>
    </sheetView>
  </sheetViews>
  <sheetFormatPr baseColWidth="10" defaultRowHeight="15" x14ac:dyDescent="0.25"/>
  <sheetData>
    <row r="1" spans="1:8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 t="s">
        <v>7</v>
      </c>
      <c r="B2">
        <v>1095</v>
      </c>
      <c r="C2">
        <v>275</v>
      </c>
      <c r="D2">
        <v>763</v>
      </c>
      <c r="E2">
        <v>128</v>
      </c>
      <c r="F2">
        <v>235</v>
      </c>
      <c r="G2">
        <v>193</v>
      </c>
      <c r="H2">
        <v>201</v>
      </c>
    </row>
    <row r="3" spans="1:8" x14ac:dyDescent="0.25">
      <c r="A3" s="1" t="s">
        <v>8</v>
      </c>
      <c r="B3">
        <v>879</v>
      </c>
      <c r="C3">
        <v>279</v>
      </c>
      <c r="D3">
        <v>566</v>
      </c>
      <c r="E3">
        <v>103</v>
      </c>
      <c r="F3">
        <v>165</v>
      </c>
      <c r="G3">
        <v>90</v>
      </c>
      <c r="H3">
        <v>75</v>
      </c>
    </row>
    <row r="4" spans="1:8" x14ac:dyDescent="0.25">
      <c r="A4" s="1" t="s">
        <v>9</v>
      </c>
      <c r="B4">
        <v>722</v>
      </c>
      <c r="C4">
        <v>71</v>
      </c>
      <c r="D4">
        <v>127</v>
      </c>
      <c r="E4">
        <v>30</v>
      </c>
      <c r="F4">
        <v>94</v>
      </c>
      <c r="G4">
        <v>42</v>
      </c>
      <c r="H4">
        <v>89</v>
      </c>
    </row>
    <row r="5" spans="1:8" x14ac:dyDescent="0.25">
      <c r="A5" s="1" t="s">
        <v>10</v>
      </c>
      <c r="B5">
        <v>2186</v>
      </c>
      <c r="C5">
        <v>540</v>
      </c>
      <c r="D5">
        <v>953</v>
      </c>
      <c r="E5">
        <v>82</v>
      </c>
      <c r="F5">
        <v>398</v>
      </c>
      <c r="G5">
        <v>281</v>
      </c>
      <c r="H5">
        <v>695</v>
      </c>
    </row>
    <row r="6" spans="1:8" x14ac:dyDescent="0.25">
      <c r="A6" s="1" t="s">
        <v>11</v>
      </c>
      <c r="B6">
        <v>404</v>
      </c>
      <c r="C6">
        <v>10</v>
      </c>
      <c r="D6">
        <v>50</v>
      </c>
      <c r="E6">
        <v>0</v>
      </c>
      <c r="F6">
        <v>36</v>
      </c>
      <c r="G6">
        <v>0</v>
      </c>
      <c r="H6">
        <v>5</v>
      </c>
    </row>
    <row r="7" spans="1:8" x14ac:dyDescent="0.25">
      <c r="A7" s="1" t="s">
        <v>12</v>
      </c>
      <c r="B7" s="2">
        <v>182279</v>
      </c>
      <c r="C7">
        <v>50007</v>
      </c>
      <c r="D7">
        <v>98908</v>
      </c>
      <c r="E7">
        <v>28906</v>
      </c>
      <c r="F7">
        <v>38008</v>
      </c>
      <c r="G7">
        <v>29635</v>
      </c>
      <c r="H7">
        <v>18229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51AD9-5861-4249-BEF5-3D2348AC0401}">
  <dimension ref="A1:F14"/>
  <sheetViews>
    <sheetView workbookViewId="0">
      <pane ySplit="1" topLeftCell="A2" activePane="bottomLeft" state="frozen"/>
      <selection pane="bottomLeft" activeCell="D10" sqref="D10"/>
    </sheetView>
  </sheetViews>
  <sheetFormatPr baseColWidth="10" defaultRowHeight="15" x14ac:dyDescent="0.25"/>
  <sheetData>
    <row r="1" spans="1:6" x14ac:dyDescent="0.25">
      <c r="A1" s="1"/>
      <c r="B1" s="1" t="s">
        <v>13</v>
      </c>
    </row>
    <row r="2" spans="1:6" x14ac:dyDescent="0.25">
      <c r="A2" s="1" t="s">
        <v>7</v>
      </c>
      <c r="B2" s="3">
        <v>380387</v>
      </c>
    </row>
    <row r="3" spans="1:6" x14ac:dyDescent="0.25">
      <c r="A3" s="1" t="s">
        <v>8</v>
      </c>
      <c r="B3" s="3">
        <v>355459</v>
      </c>
    </row>
    <row r="4" spans="1:6" x14ac:dyDescent="0.25">
      <c r="A4" s="1" t="s">
        <v>9</v>
      </c>
      <c r="B4" s="3">
        <v>292354</v>
      </c>
    </row>
    <row r="5" spans="1:6" x14ac:dyDescent="0.25">
      <c r="A5" s="1" t="s">
        <v>10</v>
      </c>
      <c r="B5" s="3">
        <v>896175</v>
      </c>
    </row>
    <row r="6" spans="1:6" x14ac:dyDescent="0.25">
      <c r="A6" s="1" t="s">
        <v>11</v>
      </c>
      <c r="B6" s="3">
        <v>329282</v>
      </c>
    </row>
    <row r="7" spans="1:6" x14ac:dyDescent="0.25">
      <c r="A7" s="1" t="s">
        <v>12</v>
      </c>
      <c r="B7" s="2">
        <v>66351959</v>
      </c>
    </row>
    <row r="14" spans="1:6" x14ac:dyDescent="0.25">
      <c r="F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Taux lits par habitant·e</vt:lpstr>
      <vt:lpstr>Offre hospitalière</vt:lpstr>
      <vt:lpstr>Population par département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Ehl</dc:creator>
  <cp:lastModifiedBy>Robin Ehl</cp:lastModifiedBy>
  <dcterms:created xsi:type="dcterms:W3CDTF">2026-03-19T18:36:55Z</dcterms:created>
  <dcterms:modified xsi:type="dcterms:W3CDTF">2026-05-18T05:47:54Z</dcterms:modified>
</cp:coreProperties>
</file>