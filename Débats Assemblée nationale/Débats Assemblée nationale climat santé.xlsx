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rehl\Downloads\"/>
    </mc:Choice>
  </mc:AlternateContent>
  <xr:revisionPtr revIDLastSave="0" documentId="13_ncr:1_{0FF671E8-7942-4C00-9343-E98DD7309D9A}" xr6:coauthVersionLast="47" xr6:coauthVersionMax="47" xr10:uidLastSave="{00000000-0000-0000-0000-000000000000}"/>
  <bookViews>
    <workbookView xWindow="1905" yWindow="1905" windowWidth="21600" windowHeight="11295" xr2:uid="{00000000-000D-0000-FFFF-FFFF00000000}"/>
  </bookViews>
  <sheets>
    <sheet name="Occurences" sheetId="1" r:id="rId1"/>
    <sheet name="Citations 2026" sheetId="2" r:id="rId2"/>
    <sheet name="Citations 2025" sheetId="3" r:id="rId3"/>
    <sheet name="Citations 2024" sheetId="4" r:id="rId4"/>
    <sheet name="Citations 2023" sheetId="5" r:id="rId5"/>
    <sheet name="Citations 2022" sheetId="6" r:id="rId6"/>
    <sheet name="Citations 2021"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D7" i="1"/>
  <c r="E7" i="1"/>
  <c r="F7" i="1"/>
  <c r="G7" i="1"/>
  <c r="H7" i="1"/>
  <c r="I7" i="1"/>
  <c r="J7" i="1"/>
  <c r="K7" i="1"/>
  <c r="L7" i="1"/>
  <c r="M7" i="1"/>
  <c r="B7" i="1"/>
</calcChain>
</file>

<file path=xl/sharedStrings.xml><?xml version="1.0" encoding="utf-8"?>
<sst xmlns="http://schemas.openxmlformats.org/spreadsheetml/2006/main" count="158" uniqueCount="82">
  <si>
    <t>Phrases 'santé et climat'</t>
  </si>
  <si>
    <t xml:space="preserve">Phrases 'sanitaire et climatique' </t>
  </si>
  <si>
    <t>PLF</t>
  </si>
  <si>
    <t>PLFSS</t>
  </si>
  <si>
    <t>Total phrases</t>
  </si>
  <si>
    <t>- Si nous voulons que le pouvoir d’achat augmente, la fiscalité doit servir à rémunérer les paysans qui prennent soin de l’intérêt commun, de la santé, du climat, de la biodiversité, de l’eau que l’on boit chaque jour et de l’air que l’on respire à chaque instant</t>
  </si>
  <si>
    <t>- Mme Marie-Christine Dalloz  Ça crée une réaction allergique !  M. Philippe Juvin, rapporteur général  Mais où croyez-vous que s’élaborent les modèles de détection des cyberattaques, les modèles de risques climatiques et sanitaires, l’économie de la blockchain, la data, ou encore la prévention en santé, si ce n’est dans des laboratoires de recherche en mathématiques ?  M. Daniel Labaronne  Eh oui !  M. Philippe Juvin, rapporteur général  La France est le deuxième pays le plus récompensé au monde pour les médailles Fields</t>
  </si>
  <si>
    <t>- Nos agriculteurs ont connu ces dernières années des crises des prix, énergétiques, sanitaires, climatiques –⁠ la sécheresse en particulier –, mais aussi des crises provoquées par l’explosion des coûts de production</t>
  </si>
  <si>
    <t>- Mme Josiane Corneloup  Comme cela a été rappelé, la déduction pour épargne de précaution constitue un levier fiscal majeur, qui permet aux exploitants agricoles d’anticiper les aléas climatiques et sanitaires et de gérer leur trésorerie de manière plus responsable</t>
  </si>
  <si>
    <t>- Le dispositif a évolué à l’occasion de la loi de finances pour 2025, puisque la réintégration du montant mobilisée a alors été limitée à 70 % en cas de sinistre climatique ou d’aléa sanitaire</t>
  </si>
  <si>
    <t>- Les agriculteurs doivent actuellement faire face à des aléas climatiques et à des problèmes sanitaires</t>
  </si>
  <si>
    <t>- M. le président  Quel est l’avis de la commission ?  M. Philippe Juvin, rapporteur général  À l’évidence, le secteur agricole est confronté depuis plusieurs années à des aléas climatiques plus importants et à des crises sanitaires</t>
  </si>
  <si>
    <t>- ) En huit ans de présidence Macron, vous avez considérablement affaibli l’agriculture biologique (Mêmes mouvements) ; pour la première fois depuis des dizaines d’années, les surfaces en agriculture biologique reculent dans notre pays, c’est une régression historique pour le climat, pour l’environnement et pour la santé des Français ! (Mêmes mouvements</t>
  </si>
  <si>
    <t>- Mme Nicole Le Peih  Notre agriculture fait face à des crises climatiques, à des crises sanitaires, mais aussi à des crises économiques tout aussi destructrices</t>
  </si>
  <si>
    <t>- Il faudra probablement améliorer le dispositif dans le cadre de la navette mais, parce qu’il faut aussi prendre en considération, au-delà des seuls aléas climatiques, les aléas sanitaires –⁠ y compris les foyers de maladie végétale qui ne sont pas inclus, par nature, dans la déduction des indemnités d’abattage de troupeaux –, la proposition est intéressante</t>
  </si>
  <si>
    <t>- Il s’agit d’une mesure de cohérence entre notre fiscalité, notre politique sanitaire et nos engagements climatiques –⁠ en somme, une mesure de bon sens, attendue et juste</t>
  </si>
  <si>
    <t>- J’ajoute que l’aide publique au développement, dont nous avons besoin pour répondre aux urgences sanitaires, climatiques et migratoires, pourrait être mieux abondée grâce à cette mesure</t>
  </si>
  <si>
    <t>- Mme Sophie Pantel  Il vise à augmenter la fraction du taux de la taxe spéciale sur les conventions d’assurance (TSCA) aux départements en la faisant passer de 6,45 % à 10,45 % afin d’alléger la pression subie par les services départementaux d’incendie et de secours –⁠ les Sdis –, en particulier dans le contexte climatique et sanitaire de plus en plus tendu que nous connaissons</t>
  </si>
  <si>
    <t>Je disais que la filière est fragilisée par la concurrence, soumise aux aléas climatiques, confrontée à la déconsommation, attaquée par des initiatives telle que Janvier sans alcool, soutenue par un ancien ministre de la santé (Exclamations allant crescendo sur les bancs des groupes LFI-NFP, SOC et EcoS) et abandonnée face aux taxes Trump en raison de l’absence de politique protectionniste</t>
  </si>
  <si>
    <t>- En effet, depuis le début des débats sur le PLF, le projet de loi de finances, et sur le PLFSS, on est en train de supprimer tout ce qui va vers une agriculture vertueuse, les aides bio et les aides agroenvironnementales et climatiques, qui permettent à des agriculteurs de produire correctement, de préserver le climat et la biodiversité mais aussi la santé (Applaudissements sur les bancs du groupe LFI-NFP et sur plusieurs bancs du groupe EcoS)</t>
  </si>
  <si>
    <t>- M. Antoine Léaument  Eh oui ! Créons enfin un cercle vertueux où tout le monde sera gagnant, du patron jusqu’aux salariés, en passant par le climat, la biodiversité et la santé</t>
  </si>
  <si>
    <t>- ) Or, en l’espèce, vous êtes encore en train de faire l’aumône aux agriculteurs ! Ce que nous devons faire avec l’argent public, c’est rémunérer les agriculteurs, parce qu’ils prennent soin du climat, de la biodiversité et de la santé –⁠ de la leur, mais aussi de celle de leurs salariés et de celle des consommateurs</t>
  </si>
  <si>
    <t>- La biodiversité est importante pour préserver la santé de nos massifs forestiers : elle favorise la résilience face au changement climatique et aux problèmes sanitaires causés par les infestations d’insectes</t>
  </si>
  <si>
    <t>- Aucun propriétaire ne réalise de coupe rase pour le plaisir : il s’agit d’une pratique de dernier recours, soit pour des raisons sanitaires, comme vous l’admettez vous-même, soit lorsque l’essence en place n’est pas adaptée à son milieu ou au changement climatique</t>
  </si>
  <si>
    <t>- Le cadre financier pluriannuel 2021-2027 a été révisé pour permettre un plan de relance intégrant une réponse aux défis actuels et aux priorités stratégiques telles que le climat, la biodiversité, le numérique et la santé</t>
  </si>
  <si>
    <t>- Une telle mesure, qui a déjà montré son efficacité pour les réseaux de chaleur vertueux, permettrait d’apporter une réponse sanitaire durable aux enjeux de réchauffement climatique tout en évitant le recours aux climatiseurs individuels, émetteurs de chaleur et de CO2</t>
  </si>
  <si>
    <t>- M. Romain Eskenazi  En tant que rapporteur pour avis sur les transports aériens pour le budget 2025 que j’espère pouvoir vous présenter dans quelques jours, mes quelques préconisations s’appuient sur un double constat : l’avion constitue un moyen de transport indispensable, notamment pour assurer la continuité territoriale avec nos outre-mer –⁠ objectif que nous partageons tous –, qu’il s’agisse de déplacements touristiques, sanitaires, commerciaux ou familiaux ; néanmoins, ce moyen de transport a des conséquences négatives tant pour la santé que le climat</t>
  </si>
  <si>
    <t>- Il incite à une gestion pluriannuelle responsable des trésoreries des exploitations, en permettant de tenir compte de la multiplication des aléas climatiques, sanitaires ou naturels</t>
  </si>
  <si>
    <t>- Par définition, la réintégration de la DEP est liée aux pertes résultant des aléas climatiques et sanitaires</t>
  </si>
  <si>
    <t>- M. Nicolas Ray  Il vise à compléter la liste des risques auxquels s’applique le dispositif de la DEP, actuellement limitée aux aléas sanitaires, naturels ou climatiques</t>
  </si>
  <si>
    <t>- M. Stéphane Travert  Le dispositif de réintégration partielle instauré dans le cadre de la loi de finances permet de renforcer l’efficacité de la DEP lors de la survenance de risques sanitaires, naturels ou climatiques –⁠ risques qui sont de plus en plus fréquents</t>
  </si>
  <si>
    <t>- Mme Manon Meunier  C’est votre amendement qui mentionne les aléas économiques !  Mme Véronique Louwagie  Ces variations dépendent d’un grand nombre de facteurs, parmi lesquels les aléas climatiques, sanitaires et économiques</t>
  </si>
  <si>
    <t>- Le fonds de solidarité pour le développement finance trois domaines essentiels : le climat, la santé et l’éducation</t>
  </si>
  <si>
    <t>- Voter ce budget, c’est soutenir un investissement sans précédent afin de relever ensemble le défi du XXIe siècle, celui du climat ; c’est aussi soutenir la réduction progressive des niches fiscales brunes, qui sont néfastes pour le climat, l’environnement et la santé humaine, mais aussi contraires à nos objectifs de réduction des émissions de gaz à effet de serre ; c’est aussi supprimer, dès le 1er janvier 2024, les tarifs réduits d’accise sur les produits pétroliers</t>
  </si>
  <si>
    <t>- Nous avons devant nous de grands défis : l’adaptation au changement climatique, la préservation de notre souveraineté alimentaire et la restauration de notre souveraineté industrielle et sanitaire</t>
  </si>
  <si>
    <t>- Les haies sont un enjeu stratégique pour le climat, la biodiversité et la meilleure santé des cultures, et le pacte bénéficiera d’un financement de plus de 110 millions d’euros</t>
  </si>
  <si>
    <t>- M. Pascal Lavergne (RE)  Cela a été dit à plusieurs reprises mais je vais le répéter : depuis plusieurs années, l’enchaînement ou la conjonction de crises –⁠ aléas climatiques de plus en plus intenses et plus fréquents, crises sanitaires majeures affectant à la fois les hommes et les animaux, difficultés économiques liées à l’invasion de l’Ukraine – frappent directement et durement l’agriculture, l’agroalimentaire et la forêt</t>
  </si>
  <si>
    <t>- Le budget intègre, cette année encore, une provision pour aléas financiers, mobilisable en cas de crise –⁠ et il n’en manque pas –, afin d’accompagner les exploitations face aux aléas climatiques, économiques et sanitaires</t>
  </si>
  <si>
    <t>- Face à l’effondrement climatique qui a déjà commencé, cette utopie réaliste d’une protection sociale et écologique, qui intègre pleinement la santé de la population et des écosystèmes, est notre unique bouée de sauvetage pour pouvoir vivre dignement sur une planète respirable</t>
  </si>
  <si>
    <t>- M. Frédéric Mathieu  Bien dit !  M. Sébastien Peytavie  Alors qu’elle propose un budget qui brille par son aveuglement face à l’urgence climatique, qui met en péril notre santé et celle des plus vulnérables, comment la majorité peut-elle s’étonner que nous rejetions le texte en commission ? Non seulement nous l’avons rejeté en commission, mais nous refuserons à nouveau d’être les otages de la mise en scène kafkaïenne d’un budget inconscient, digne du monde d’avant</t>
  </si>
  <si>
    <t>- La réalité, c’est que vous allez détruire l’hôpital, l’école, le droit des travailleurs à partir à la retraite en bonne santé et celui des générations futures à vivre dans un monde préservé du chaos climatique pour rien</t>
  </si>
  <si>
    <t>- Il doit payer les frais de transport et d’hébergement pour accompagner son enfant et rester auprès de lui dans l’Hexagone un certain nombre de mois, voire une année, le temps des soins et du recouvrement d’un état de santé compatible avec le niveau de soins et le climat dans son territoire d’origine</t>
  </si>
  <si>
    <t>- M. Jean-René Cazeneuve, rapporteur général  Eh oui !  M. Thomas Ménagé  Elle est où, la piscine européenne ?  M. Alexandre Holroyd  Les attentes de nos concitoyens envers l’Union en matière de lutte contre le changement climatique et écologique, de protection de nos frontières ou encore de politique de santé croissent chaque année</t>
  </si>
  <si>
    <t>- Ces 750 milliards d’euros, dont 390 milliards de subventions directes, c’est autant d’argent qui doit être dépensé pour relever les défis auxquels l’Union est confrontée aujourd’hui ou le sera demain : la santé, le climat, la défense et la sécurité, par exemple</t>
  </si>
  <si>
    <t>- Le report modal vers des mobilités vertueuses sur le plan environnemental et pour la santé est donc un levier d’action essentiel pour mener l’indispensable lutte contre le dérèglement climatique</t>
  </si>
  <si>
    <t>- Une telle augmentation est particulièrement nécessaire dans les ZFE qui, en interdisant certains véhicules, imposent une contrainte très forte pour des raisons de santé et de lutte contre le dérèglement climatique</t>
  </si>
  <si>
    <t>- Ce montant est important et sert les objectifs que se sont fixés le Gouvernement et les parlementaires en vue d’aider les professionnels de l’agriculture et de l’alimentation, dans un contexte de changement climatique, de renouvellement des générations et d’exigence accrue en matière de sécurité sanitaire</t>
  </si>
  <si>
    <t>- Ce n’est malheureusement pas ce budget en trompe-l’œil qui inversera le cours des choses : l’augmentation des crédits y est certes significative, mais elle tient essentiellement aux engagements pris en matière d’assurance agricole, dans un système qui –⁠ vous en conviendrez vite – ne garantira pas la pérennité de l’ensemble des exploitations face aux aléas climatiques, et encore moins face à l’ensemble des risques environnementaux et sanitaires</t>
  </si>
  <si>
    <t>- À l’heure où le changement climatique menace nos forêts, nous avons au contraire besoin de main-d’œuvre pour assurer le suivi sanitaire et le renouvellement des peuplements forestiers</t>
  </si>
  <si>
    <t>- Nous serons à vos côtés pour soutenir le revenu des agriculteurs, les accompagner vers l’agroécologie, assurer notre sécurité sanitaire et former nos jeunes en encourageant l’innovation tout en faisant face au changement climatique</t>
  </si>
  <si>
    <t>- Pour tenir compte de la difficulté dans laquelle se trouvaient les agriculteurs, au regard tant des aléas climatiques que des conséquences de la crise sanitaire, nous avons décidé de prolonger cette exonération pour deux ans</t>
  </si>
  <si>
    <t>- Ils sont sans arrêt tributaires des aléas climatiques et cette année, en plus de tout le reste –⁠ la covid-19, la crise sanitaire, la sécheresse –, ils ont subi la gelée noire, qui a fortement touché une grande partie des exploitations en France</t>
  </si>
  <si>
    <t>- Deux exceptions seraient toutefois admises : la première pour motif sanitaire –⁠ prolifération de maladies ou de parasites –, la seconde pour motif climatique –⁠ inadaptation des essences au milieu du fait de l’évolution du climat entraînant des coupes en vue d’une diversification</t>
  </si>
  <si>
    <t>- Aussi est-il proposé de modifier les conséquences de l’utilisation de l’épargne professionnelle constituée dans le cadre de la DEP, en supprimant la réintégration fiscale des déductions utilisées pour faire face aux conséquences d’un aléa d’origine climatique, naturelle ou sanitaire</t>
  </si>
  <si>
    <t>- Le plan de relance nous a heureusement permis d’amorcer la pompe du renouvellement forestier, ce qui est aussi nécessaire qu’urgent dans un contexte où le puits de carbone que constitue la forêt se réduit sous l’effet de la sécheresse ainsi que des aléas climatiques et sanitaires –⁠ à tel point que le Haut Conseil pour le climat (HCC) considère que nous avons peut-être surestimé de 30 % la valeur carbone de la forêt française</t>
  </si>
  <si>
    <t>- D’ailleurs, Nicolas Sarkozy, lorsqu’il a lancé cette idée, a très bien indiqué au G20 que cette taxe était destinée à financer l’aide publique au développement, notamment pour la santé et les problèmes liés au changement climatique</t>
  </si>
  <si>
    <t>- Au-delà du plan de relance, le budget européen bénéficie de moyens préservés, voire renforcés, pour déployer des politiques jugées essentielles et prioritaires par la France, comme la politique agricole commune (PAC), la cohésion, la santé, la recherche, le climat, ou encore le programme Erasmus d’échange d’étudiants ou d’apprentis, qui célébrera ses 35 ans l’an prochain</t>
  </si>
  <si>
    <t>- Je ne peux que saluer la volonté de nos collègues européens qui proposent de renforcer le projet de la Commission de 2,7 milliards, afin d’investir davantage dans Erasmus+, la recherche, l’action climatique et la santé</t>
  </si>
  <si>
    <t>- M. Jean-Paul Lecoq  Eh ben !  M. Rodrigue Kokouendo  Cinq priorités thématiques ont été définies, en corrélation avec les enjeux de développement durable : lutte contre les inégalités ; lutte contre le changement climatique ; éducation ; égalité entre les femmes et les hommes ; renforcement des systèmes de santé</t>
  </si>
  <si>
    <t>- La lutte contre les crises et les fragilités, celle contre le changement climatique, le développement de l’éducation, le renforcement des systèmes de santé et l’égalité entre les hommes et les femmes sont autant d’objectifs que la nouvelle politique de solidarité française devra chercher à atteindre</t>
  </si>
  <si>
    <t>- Nous pourrons ainsi faire plus en direction de nos priorités géographiques, à savoir les dix-huit pays d’Afrique subsaharienne qui ont été évoqués et Haïti, mais également dans cinq secteurs prioritaires : la santé, le climat, l’égalité entre les femmes et les hommes –⁠ je remercie Mme la rapporteure d’avoir rappelé cet engagement essentiel –, l’éducation, la prévention des crises et le traitement des fragilités</t>
  </si>
  <si>
    <t>- Par ailleurs, pour faire face au réchauffement climatique, et réduire l’utilisation de produits phytosanitaires, nous aurons besoin d’accentuer la recherche dans les innovations variétales</t>
  </si>
  <si>
    <t>- La ferme France est au cœur de toutes les transitions : économique, sanitaire et climatique</t>
  </si>
  <si>
    <t>- Surtout, s’ajoutent à ces 22 milliards des moyens également très importants débloqués par le Gouvernement à titre exceptionnel : pour la relance à hauteur de 1,4 milliard d’euros, puis pour faire face aux crises sanitaires et climatiques auxquelles le pays a été confronté depuis 2020, telles que la crise du gel ou l’influenza aviaire, et enfin, à travers le quatrième programme d’investissements d’avenir (PIA4) et du plan d’investissements France 2030, à hauteur de 2,8 milliards d’euros</t>
  </si>
  <si>
    <t>- M. Jean-Paul Lecoq  Alors que leur développement est toujours plus nécessaire pour lutter efficacement contre le dérèglement climatique et la pollution de l’air, la crise sanitaire a fragilisé le modèle économique des transports publics</t>
  </si>
  <si>
    <t>- C’est dans ce climat d’instabilité sanitaire, économique, budgétaire et géopolitique qu’il nous faut prendre les décisions permettant de protéger la santé publique, notre économie, nos emplois et notre modèle social, tout en accélérant les transitions porteuses de la croissance de demain</t>
  </si>
  <si>
    <t>- Ainsi, les dix-huit pays prioritaires identifiés –⁠ situés en Afrique subsaharienne, à l’exception d’Haïti – seront les premiers bénéficiaires de moyens destinés à prévenir les crises, à lutte contre les effets du changement climatique, à promouvoir l’égalité entre les femmes et les hommes, à renforcer les systèmes de santé et à soutenir l’éducation</t>
  </si>
  <si>
    <t>- La crise sanitaire ne doit en aucun cas nous faire oublier la situation d’urgence climatique dans laquelle nous nous trouvons</t>
  </si>
  <si>
    <t>- Éradication de la pauvreté, lutte contre la faim, réduction des inégalités, lutte contre le changement climatique, accès à la santé : ils couvrent l’intégralité des enjeux de développement dans tous les pays</t>
  </si>
  <si>
    <t>- Nous prolongerons donc notre action dans les secteurs prioritaires que sont la santé, les crises et fragilités, l’égalité femmes-hommes, l’éducation, le climat et l’environnement</t>
  </si>
  <si>
    <t>- La deuxième concerne les biens publics mondiaux, au premier rang desquels nous mettons la santé –⁠ avec le dispositif de soutien à l’OMS et l’initiative ACT-A, décidée dans le cadre de la crise sanitaire –, mais aussi l’éducation, sur laquelle M. Berville a insisté dans son intervention, et le climat, dont nous reparlerons peut-être</t>
  </si>
  <si>
    <t>- Cette filière a été malmenée ces derniers mois : forte concurrence espagnole, boycott des États-Unis, exportations affectées par la crise sanitaire, effets du changement climatique, maladies touchant la vigne… Quels moyens avez-vous prévu pour la soutenir ?  Mme la présidente  La parole est à M. le ministre</t>
  </si>
  <si>
    <t>- Alors qu’ils sont les premiers à intervenir dans les forêts communales et domaniales affectées par le changement climatique, par les crises sanitaires qui touchent l’épicéa, le frêne et tant d’autres dont nous avons parlé ce matin, nous devons nous assurer qu’ils sont à même de gérer l’accroissement inédit d’activité auquel ils vont devoir faire face</t>
  </si>
  <si>
    <t>- Il est non seulement nécessaire de préserver, de pérenniser et de développer cette filière d’excellence, reconnue dans le monde entier, mais aussi d’agir dès maintenant pour réduire autant que possible l’utilisation d’intrants dans les cultures de lin-fibre, afin que cette filière n’en vienne pas à se trouver dans la même impasse que d’autres, avec des agriculteurs n’ayant aucune solution pour remplacer les produits phytosanitaires face au stress climatique des plantes et au développement d’organismes nuisibles favorisé par le réchauffement climatique</t>
  </si>
  <si>
    <t>- Les liniculteurs ont engagé des programmes de recherche et développement visant à limiter le recours aux produits phytosanitaires en s’adaptant au dérèglement climatique grâce aux plans COMBILIN –⁠ combinaison de leviers pour une production intégrée de lin fibre – et BREEDFLAX –⁠ mise au point d’outils pour une adaptation aux évolutions climatiques</t>
  </si>
  <si>
    <t>- Notre situation sanitaire, financière, économique et sociale ne m’est pas indifférente mais j’espère sincèrement que nous parviendrons à un consensus sur la question du CEREMA dont l’expertise, vous le savez, est incontournable et reconnue, alors que notre pays est de plus en plus menacé par le réchauffement climatique, ses répercussions et les aléas de toutes les crises qui ont une incidence sur nos modes de vie</t>
  </si>
  <si>
    <t>- Madame la ministre, la terrible épidémie qui frappe les Français nous enseigne une chose : nous vivons désormais dans une société du risque global, où les périls sanitaire et terroriste viennent s’ajouter au risque climatique</t>
  </si>
  <si>
    <t>- Il n’y a pas, d’un côté, notre économie, nos emplois et notre santé, et de l’autre, le climat et la biodiversité, pas plus qu’il n’y a, d’un côté, le budget de la France et, de l’autre, l’action écologique du Gouvernement</t>
  </si>
  <si>
    <t>- La menace climatique est d’une gravité à la puissance dix ou cent, comparée à l’actuelle crise sanitaire, et nous n’avons pas le courage de prendre ici les mesures qui s’imposent</t>
  </si>
  <si>
    <t>- Mme Géraldine Bannier  Le moment présent, qu’on l’envisage sous un angle sanitaire, sociétal ou climatique, appelle des solutions d’avenir que seules la recherche et l’innovation, et, derrière ces mots, les hommes qui en sont les acteurs, pourront esquisser –⁠ nul ne peut l’ignorer</t>
  </si>
  <si>
    <t>- Les agriculteurs pâtissent de plus en plus des aléas climatiques et ils ont subi la crise sanitaire –⁠ comme beaucoup d’autres professions, je vous l’accorde, mais, pour eux, elle a frappé de plein fouet</t>
  </si>
  <si>
    <t>Taux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</si>
</sst>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Calibri"/>
      <family val="2"/>
      <scheme val="minor"/>
    </font>
    <font>
      <sz val="10"/>
      <color rgb="FF000000"/>
      <name val="Lucida Console"/>
      <family val="3"/>
    </font>
    <font>
      <b/>
      <sz val="11"/>
      <color theme="0"/>
      <name val="Calibri"/>
      <family val="2"/>
      <scheme val="minor"/>
    </font>
    <font>
      <sz val="10"/>
      <color rgb="FF000000"/>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336114"/>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2" fillId="0" borderId="0" xfId="0" applyFont="1" applyAlignment="1">
      <alignment vertical="center"/>
    </xf>
    <xf numFmtId="0" fontId="2" fillId="2" borderId="0" xfId="0" applyFont="1" applyFill="1" applyAlignment="1">
      <alignment vertical="center"/>
    </xf>
    <xf numFmtId="0" fontId="3" fillId="3" borderId="0" xfId="0" applyFont="1" applyFill="1"/>
    <xf numFmtId="0" fontId="3" fillId="3" borderId="0" xfId="0" applyFont="1" applyFill="1" applyAlignment="1">
      <alignment horizontal="center"/>
    </xf>
    <xf numFmtId="0" fontId="0" fillId="0" borderId="0" xfId="0" applyFont="1"/>
    <xf numFmtId="0" fontId="4" fillId="0" borderId="0" xfId="0" applyFont="1" applyAlignment="1">
      <alignment vertical="center"/>
    </xf>
    <xf numFmtId="0" fontId="4" fillId="2" borderId="0" xfId="0" applyFont="1" applyFill="1" applyAlignment="1">
      <alignment vertical="center"/>
    </xf>
  </cellXfs>
  <cellStyles count="1">
    <cellStyle name="Normal" xfId="0" builtinId="0"/>
  </cellStyles>
  <dxfs count="0"/>
  <tableStyles count="0" defaultTableStyle="TableStyleMedium2" defaultPivotStyle="PivotStyleLight16"/>
  <colors>
    <mruColors>
      <color rgb="FF336114"/>
      <color rgb="FFBECE45"/>
      <color rgb="FF333333"/>
      <color rgb="FF4484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solidFill>
                  <a:srgbClr val="44841A"/>
                </a:solidFill>
                <a:latin typeface="Oxfam TSTAR PRO Headline" panose="02000806030000020004" pitchFamily="50" charset="0"/>
              </a:rPr>
              <a:t>Part des phrases établissant un lien explicite entre climat et santé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0-DD97-42E5-A2C1-9E015274006B}"/>
            </c:ext>
          </c:extLst>
        </c:ser>
        <c:ser>
          <c:idx val="1"/>
          <c:order val="1"/>
          <c:spPr>
            <a:ln w="28575" cap="rnd">
              <a:solidFill>
                <a:schemeClr val="accent2"/>
              </a:solidFill>
              <a:round/>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Ref>
                </c15:cat>
              </c15:filteredCategoryTitle>
            </c:ext>
            <c:ext xmlns:c16="http://schemas.microsoft.com/office/drawing/2014/chart" uri="{C3380CC4-5D6E-409C-BE32-E72D297353CC}">
              <c16:uniqueId val="{00000001-DD97-42E5-A2C1-9E015274006B}"/>
            </c:ext>
          </c:extLst>
        </c:ser>
        <c:dLbls>
          <c:showLegendKey val="0"/>
          <c:showVal val="0"/>
          <c:showCatName val="0"/>
          <c:showSerName val="0"/>
          <c:showPercent val="0"/>
          <c:showBubbleSize val="0"/>
        </c:dLbls>
        <c:smooth val="0"/>
        <c:axId val="64526143"/>
        <c:axId val="64522783"/>
      </c:lineChart>
      <c:catAx>
        <c:axId val="6452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33333"/>
                </a:solidFill>
                <a:latin typeface="Oxfam TSTAR PRO" panose="02000806030000020004" pitchFamily="50" charset="0"/>
                <a:ea typeface="+mn-ea"/>
                <a:cs typeface="+mn-cs"/>
              </a:defRPr>
            </a:pPr>
            <a:endParaRPr lang="fr-FR"/>
          </a:p>
        </c:txPr>
        <c:crossAx val="64522783"/>
        <c:crosses val="autoZero"/>
        <c:auto val="1"/>
        <c:lblAlgn val="ctr"/>
        <c:lblOffset val="100"/>
        <c:noMultiLvlLbl val="0"/>
      </c:catAx>
      <c:valAx>
        <c:axId val="64522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Oxfam TSTAR PRO" panose="02000806030000020004" pitchFamily="50" charset="0"/>
                <a:ea typeface="+mn-ea"/>
                <a:cs typeface="+mn-cs"/>
              </a:defRPr>
            </a:pPr>
            <a:endParaRPr lang="fr-FR"/>
          </a:p>
        </c:txPr>
        <c:crossAx val="64526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333333"/>
              </a:solidFill>
              <a:latin typeface="Oxfam TSTAR PRO" panose="02000806030000020004" pitchFamily="50" charset="0"/>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104775</xdr:rowOff>
    </xdr:from>
    <xdr:to>
      <xdr:col>7</xdr:col>
      <xdr:colOff>304800</xdr:colOff>
      <xdr:row>22</xdr:row>
      <xdr:rowOff>180975</xdr:rowOff>
    </xdr:to>
    <xdr:graphicFrame macro="">
      <xdr:nvGraphicFramePr>
        <xdr:cNvPr id="2" name="Graphique 1">
          <a:extLst>
            <a:ext uri="{FF2B5EF4-FFF2-40B4-BE49-F238E27FC236}">
              <a16:creationId xmlns:a16="http://schemas.microsoft.com/office/drawing/2014/main" id="{9FE947A6-949C-4595-978F-F796E79E5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
  <sheetViews>
    <sheetView tabSelected="1" workbookViewId="0">
      <selection activeCell="A7" sqref="A7"/>
    </sheetView>
  </sheetViews>
  <sheetFormatPr baseColWidth="10" defaultColWidth="9.140625" defaultRowHeight="15" x14ac:dyDescent="0.25"/>
  <sheetData>
    <row r="1" spans="1:13" s="4" customFormat="1" x14ac:dyDescent="0.25">
      <c r="B1" s="5" t="s">
        <v>2</v>
      </c>
      <c r="C1" s="5"/>
      <c r="D1" s="5"/>
      <c r="E1" s="5"/>
      <c r="F1" s="5"/>
      <c r="G1" s="5"/>
      <c r="H1" s="5" t="s">
        <v>3</v>
      </c>
      <c r="I1" s="5"/>
      <c r="J1" s="5"/>
      <c r="K1" s="5"/>
      <c r="L1" s="5"/>
      <c r="M1" s="5"/>
    </row>
    <row r="2" spans="1:13" s="4" customFormat="1" x14ac:dyDescent="0.25">
      <c r="B2" s="4">
        <v>2026</v>
      </c>
      <c r="C2" s="4">
        <v>2025</v>
      </c>
      <c r="D2" s="4">
        <v>2024</v>
      </c>
      <c r="E2" s="4">
        <v>2023</v>
      </c>
      <c r="F2" s="4">
        <v>2022</v>
      </c>
      <c r="G2" s="4">
        <v>2021</v>
      </c>
      <c r="H2" s="4">
        <v>2026</v>
      </c>
      <c r="I2" s="4">
        <v>2025</v>
      </c>
      <c r="J2" s="4">
        <v>2024</v>
      </c>
      <c r="K2" s="4">
        <v>2023</v>
      </c>
      <c r="L2" s="4">
        <v>2022</v>
      </c>
      <c r="M2" s="4">
        <v>2021</v>
      </c>
    </row>
    <row r="3" spans="1:13" x14ac:dyDescent="0.25">
      <c r="A3" s="1" t="s">
        <v>0</v>
      </c>
      <c r="B3">
        <v>3</v>
      </c>
      <c r="C3">
        <v>4</v>
      </c>
      <c r="D3">
        <v>2</v>
      </c>
      <c r="E3">
        <v>6</v>
      </c>
      <c r="F3">
        <v>6</v>
      </c>
      <c r="G3">
        <v>6</v>
      </c>
      <c r="H3">
        <v>1</v>
      </c>
      <c r="I3">
        <v>3</v>
      </c>
      <c r="J3">
        <v>2</v>
      </c>
      <c r="K3">
        <v>0</v>
      </c>
      <c r="L3">
        <v>0</v>
      </c>
      <c r="M3">
        <v>0</v>
      </c>
    </row>
    <row r="4" spans="1:13" x14ac:dyDescent="0.25">
      <c r="A4" s="1" t="s">
        <v>1</v>
      </c>
      <c r="B4">
        <v>10</v>
      </c>
      <c r="C4">
        <v>7</v>
      </c>
      <c r="D4">
        <v>3</v>
      </c>
      <c r="E4">
        <v>4</v>
      </c>
      <c r="F4">
        <v>7</v>
      </c>
      <c r="G4">
        <v>9</v>
      </c>
      <c r="H4">
        <v>0</v>
      </c>
      <c r="I4">
        <v>0</v>
      </c>
      <c r="J4">
        <v>0</v>
      </c>
      <c r="K4">
        <v>0</v>
      </c>
      <c r="L4">
        <v>2</v>
      </c>
      <c r="M4">
        <v>1</v>
      </c>
    </row>
    <row r="5" spans="1:13" x14ac:dyDescent="0.25">
      <c r="A5" s="1" t="s">
        <v>4</v>
      </c>
      <c r="B5">
        <v>47295</v>
      </c>
      <c r="C5">
        <v>25926</v>
      </c>
      <c r="D5">
        <v>15583</v>
      </c>
      <c r="E5">
        <v>30854</v>
      </c>
      <c r="F5">
        <v>46327</v>
      </c>
      <c r="G5">
        <v>55113</v>
      </c>
      <c r="H5">
        <v>19783</v>
      </c>
      <c r="I5">
        <v>11932</v>
      </c>
      <c r="J5">
        <v>4743</v>
      </c>
      <c r="K5">
        <v>6320</v>
      </c>
      <c r="L5">
        <v>9929</v>
      </c>
      <c r="M5">
        <v>12363</v>
      </c>
    </row>
    <row r="7" spans="1:13" x14ac:dyDescent="0.25">
      <c r="A7" s="1" t="s">
        <v>81</v>
      </c>
      <c r="B7">
        <f>(B3+B4)/B5</f>
        <v>2.7487049370969447E-4</v>
      </c>
      <c r="C7">
        <f t="shared" ref="C7:M7" si="0">(C3+C4)/C5</f>
        <v>4.2428450204427988E-4</v>
      </c>
      <c r="D7">
        <f t="shared" si="0"/>
        <v>3.2086247834178273E-4</v>
      </c>
      <c r="E7">
        <f t="shared" si="0"/>
        <v>3.2410708498087766E-4</v>
      </c>
      <c r="F7">
        <f t="shared" si="0"/>
        <v>2.8061389686360007E-4</v>
      </c>
      <c r="G7">
        <f t="shared" si="0"/>
        <v>2.7216809101300962E-4</v>
      </c>
      <c r="H7">
        <f t="shared" si="0"/>
        <v>5.0548450689986353E-5</v>
      </c>
      <c r="I7">
        <f t="shared" si="0"/>
        <v>2.5142474019443513E-4</v>
      </c>
      <c r="J7">
        <f t="shared" si="0"/>
        <v>4.21674045962471E-4</v>
      </c>
      <c r="K7">
        <f t="shared" si="0"/>
        <v>0</v>
      </c>
      <c r="L7">
        <f t="shared" si="0"/>
        <v>2.0143015409406788E-4</v>
      </c>
      <c r="M7">
        <f t="shared" si="0"/>
        <v>8.0886516217746498E-5</v>
      </c>
    </row>
  </sheetData>
  <mergeCells count="2">
    <mergeCell ref="B1:G1"/>
    <mergeCell ref="H1:M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88E99-56E6-4C63-9236-5A44FC778C05}">
  <dimension ref="A1:B14"/>
  <sheetViews>
    <sheetView workbookViewId="0">
      <selection activeCell="C12" sqref="C12"/>
    </sheetView>
  </sheetViews>
  <sheetFormatPr baseColWidth="10" defaultRowHeight="15" x14ac:dyDescent="0.25"/>
  <cols>
    <col min="1" max="16384" width="11.42578125" style="6"/>
  </cols>
  <sheetData>
    <row r="1" spans="1:2" x14ac:dyDescent="0.25">
      <c r="A1" s="6" t="s">
        <v>2</v>
      </c>
      <c r="B1" s="7" t="s">
        <v>5</v>
      </c>
    </row>
    <row r="2" spans="1:2" x14ac:dyDescent="0.25">
      <c r="A2" s="6" t="s">
        <v>2</v>
      </c>
      <c r="B2" s="7" t="s">
        <v>6</v>
      </c>
    </row>
    <row r="3" spans="1:2" x14ac:dyDescent="0.25">
      <c r="A3" s="6" t="s">
        <v>2</v>
      </c>
      <c r="B3" s="7" t="s">
        <v>7</v>
      </c>
    </row>
    <row r="4" spans="1:2" x14ac:dyDescent="0.25">
      <c r="A4" s="6" t="s">
        <v>2</v>
      </c>
      <c r="B4" s="7" t="s">
        <v>8</v>
      </c>
    </row>
    <row r="5" spans="1:2" x14ac:dyDescent="0.25">
      <c r="A5" s="6" t="s">
        <v>2</v>
      </c>
      <c r="B5" s="7" t="s">
        <v>9</v>
      </c>
    </row>
    <row r="6" spans="1:2" x14ac:dyDescent="0.25">
      <c r="A6" s="6" t="s">
        <v>2</v>
      </c>
      <c r="B6" s="7" t="s">
        <v>10</v>
      </c>
    </row>
    <row r="7" spans="1:2" x14ac:dyDescent="0.25">
      <c r="A7" s="6" t="s">
        <v>2</v>
      </c>
      <c r="B7" s="7" t="s">
        <v>11</v>
      </c>
    </row>
    <row r="8" spans="1:2" x14ac:dyDescent="0.25">
      <c r="A8" s="6" t="s">
        <v>2</v>
      </c>
      <c r="B8" s="7" t="s">
        <v>12</v>
      </c>
    </row>
    <row r="9" spans="1:2" x14ac:dyDescent="0.25">
      <c r="A9" s="6" t="s">
        <v>2</v>
      </c>
      <c r="B9" s="7" t="s">
        <v>13</v>
      </c>
    </row>
    <row r="10" spans="1:2" x14ac:dyDescent="0.25">
      <c r="A10" s="6" t="s">
        <v>2</v>
      </c>
      <c r="B10" s="7" t="s">
        <v>14</v>
      </c>
    </row>
    <row r="11" spans="1:2" x14ac:dyDescent="0.25">
      <c r="A11" s="6" t="s">
        <v>2</v>
      </c>
      <c r="B11" s="7" t="s">
        <v>15</v>
      </c>
    </row>
    <row r="12" spans="1:2" x14ac:dyDescent="0.25">
      <c r="A12" s="6" t="s">
        <v>2</v>
      </c>
      <c r="B12" s="7" t="s">
        <v>16</v>
      </c>
    </row>
    <row r="13" spans="1:2" x14ac:dyDescent="0.25">
      <c r="A13" s="6" t="s">
        <v>2</v>
      </c>
      <c r="B13" s="8" t="s">
        <v>17</v>
      </c>
    </row>
    <row r="14" spans="1:2" x14ac:dyDescent="0.25">
      <c r="A14" s="6" t="s">
        <v>3</v>
      </c>
      <c r="B14" s="7"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CBDF7-9B7E-40F7-983F-3A723CED6DB4}">
  <dimension ref="A1:B14"/>
  <sheetViews>
    <sheetView workbookViewId="0">
      <selection activeCell="B14" sqref="B14"/>
    </sheetView>
  </sheetViews>
  <sheetFormatPr baseColWidth="10" defaultRowHeight="15" x14ac:dyDescent="0.25"/>
  <sheetData>
    <row r="1" spans="1:2" x14ac:dyDescent="0.25">
      <c r="A1" t="s">
        <v>3</v>
      </c>
      <c r="B1" s="2" t="s">
        <v>19</v>
      </c>
    </row>
    <row r="2" spans="1:2" x14ac:dyDescent="0.25">
      <c r="A2" t="s">
        <v>3</v>
      </c>
      <c r="B2" s="2" t="s">
        <v>20</v>
      </c>
    </row>
    <row r="3" spans="1:2" x14ac:dyDescent="0.25">
      <c r="A3" t="s">
        <v>3</v>
      </c>
      <c r="B3" s="3" t="s">
        <v>21</v>
      </c>
    </row>
    <row r="4" spans="1:2" x14ac:dyDescent="0.25">
      <c r="A4" t="s">
        <v>2</v>
      </c>
      <c r="B4" s="2" t="s">
        <v>22</v>
      </c>
    </row>
    <row r="5" spans="1:2" x14ac:dyDescent="0.25">
      <c r="A5" t="s">
        <v>2</v>
      </c>
      <c r="B5" s="2" t="s">
        <v>23</v>
      </c>
    </row>
    <row r="6" spans="1:2" x14ac:dyDescent="0.25">
      <c r="A6" t="s">
        <v>2</v>
      </c>
      <c r="B6" s="2" t="s">
        <v>24</v>
      </c>
    </row>
    <row r="7" spans="1:2" x14ac:dyDescent="0.25">
      <c r="A7" t="s">
        <v>2</v>
      </c>
      <c r="B7" s="2" t="s">
        <v>25</v>
      </c>
    </row>
    <row r="8" spans="1:2" x14ac:dyDescent="0.25">
      <c r="A8" t="s">
        <v>2</v>
      </c>
      <c r="B8" s="2" t="s">
        <v>26</v>
      </c>
    </row>
    <row r="9" spans="1:2" x14ac:dyDescent="0.25">
      <c r="A9" t="s">
        <v>2</v>
      </c>
      <c r="B9" s="2" t="s">
        <v>27</v>
      </c>
    </row>
    <row r="10" spans="1:2" x14ac:dyDescent="0.25">
      <c r="A10" t="s">
        <v>2</v>
      </c>
      <c r="B10" s="2" t="s">
        <v>28</v>
      </c>
    </row>
    <row r="11" spans="1:2" x14ac:dyDescent="0.25">
      <c r="A11" t="s">
        <v>2</v>
      </c>
      <c r="B11" s="2" t="s">
        <v>29</v>
      </c>
    </row>
    <row r="12" spans="1:2" x14ac:dyDescent="0.25">
      <c r="A12" t="s">
        <v>2</v>
      </c>
      <c r="B12" s="2" t="s">
        <v>30</v>
      </c>
    </row>
    <row r="13" spans="1:2" x14ac:dyDescent="0.25">
      <c r="A13" t="s">
        <v>2</v>
      </c>
      <c r="B13" s="2" t="s">
        <v>31</v>
      </c>
    </row>
    <row r="14" spans="1:2" x14ac:dyDescent="0.25">
      <c r="A14" t="s">
        <v>2</v>
      </c>
      <c r="B14" s="8" t="s">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C3DB-5A0D-423A-8B50-141EE72B4879}">
  <dimension ref="A1:B7"/>
  <sheetViews>
    <sheetView workbookViewId="0">
      <selection activeCell="B7" sqref="A1:B7"/>
    </sheetView>
  </sheetViews>
  <sheetFormatPr baseColWidth="10" defaultRowHeight="15" x14ac:dyDescent="0.25"/>
  <sheetData>
    <row r="1" spans="1:2" x14ac:dyDescent="0.25">
      <c r="A1" s="6" t="s">
        <v>2</v>
      </c>
      <c r="B1" s="7" t="s">
        <v>33</v>
      </c>
    </row>
    <row r="2" spans="1:2" x14ac:dyDescent="0.25">
      <c r="A2" s="6" t="s">
        <v>2</v>
      </c>
      <c r="B2" s="7" t="s">
        <v>34</v>
      </c>
    </row>
    <row r="3" spans="1:2" x14ac:dyDescent="0.25">
      <c r="A3" s="6" t="s">
        <v>2</v>
      </c>
      <c r="B3" s="7" t="s">
        <v>35</v>
      </c>
    </row>
    <row r="4" spans="1:2" x14ac:dyDescent="0.25">
      <c r="A4" s="6" t="s">
        <v>2</v>
      </c>
      <c r="B4" s="7" t="s">
        <v>36</v>
      </c>
    </row>
    <row r="5" spans="1:2" x14ac:dyDescent="0.25">
      <c r="A5" s="6" t="s">
        <v>2</v>
      </c>
      <c r="B5" s="8" t="s">
        <v>37</v>
      </c>
    </row>
    <row r="6" spans="1:2" x14ac:dyDescent="0.25">
      <c r="A6" s="6" t="s">
        <v>3</v>
      </c>
      <c r="B6" s="7" t="s">
        <v>38</v>
      </c>
    </row>
    <row r="7" spans="1:2" x14ac:dyDescent="0.25">
      <c r="A7" s="6" t="s">
        <v>3</v>
      </c>
      <c r="B7" s="8" t="s">
        <v>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701E6-7CB1-44E6-BCC4-978E846E1D9F}">
  <dimension ref="A1:B10"/>
  <sheetViews>
    <sheetView workbookViewId="0">
      <selection activeCell="B11" sqref="A1:XFD1048576"/>
    </sheetView>
  </sheetViews>
  <sheetFormatPr baseColWidth="10" defaultRowHeight="15" x14ac:dyDescent="0.25"/>
  <cols>
    <col min="1" max="16384" width="11.42578125" style="6"/>
  </cols>
  <sheetData>
    <row r="1" spans="1:2" x14ac:dyDescent="0.25">
      <c r="A1" s="6" t="s">
        <v>2</v>
      </c>
      <c r="B1" s="7" t="s">
        <v>40</v>
      </c>
    </row>
    <row r="2" spans="1:2" x14ac:dyDescent="0.25">
      <c r="A2" s="6" t="s">
        <v>2</v>
      </c>
      <c r="B2" s="7" t="s">
        <v>41</v>
      </c>
    </row>
    <row r="3" spans="1:2" x14ac:dyDescent="0.25">
      <c r="A3" s="6" t="s">
        <v>2</v>
      </c>
      <c r="B3" s="7" t="s">
        <v>42</v>
      </c>
    </row>
    <row r="4" spans="1:2" x14ac:dyDescent="0.25">
      <c r="A4" s="6" t="s">
        <v>2</v>
      </c>
      <c r="B4" s="7" t="s">
        <v>43</v>
      </c>
    </row>
    <row r="5" spans="1:2" x14ac:dyDescent="0.25">
      <c r="A5" s="6" t="s">
        <v>2</v>
      </c>
      <c r="B5" s="7" t="s">
        <v>44</v>
      </c>
    </row>
    <row r="6" spans="1:2" x14ac:dyDescent="0.25">
      <c r="A6" s="6" t="s">
        <v>2</v>
      </c>
      <c r="B6" s="7" t="s">
        <v>45</v>
      </c>
    </row>
    <row r="7" spans="1:2" x14ac:dyDescent="0.25">
      <c r="A7" s="6" t="s">
        <v>2</v>
      </c>
      <c r="B7" s="7" t="s">
        <v>46</v>
      </c>
    </row>
    <row r="8" spans="1:2" x14ac:dyDescent="0.25">
      <c r="A8" s="6" t="s">
        <v>2</v>
      </c>
      <c r="B8" s="7" t="s">
        <v>47</v>
      </c>
    </row>
    <row r="9" spans="1:2" x14ac:dyDescent="0.25">
      <c r="A9" s="6" t="s">
        <v>2</v>
      </c>
      <c r="B9" s="7" t="s">
        <v>48</v>
      </c>
    </row>
    <row r="10" spans="1:2" x14ac:dyDescent="0.25">
      <c r="A10" s="6" t="s">
        <v>2</v>
      </c>
      <c r="B10" s="8" t="s">
        <v>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8934E-E510-4F06-9B7C-DAD88B76C824}">
  <dimension ref="A1:B15"/>
  <sheetViews>
    <sheetView workbookViewId="0">
      <selection activeCell="B15" sqref="A1:B15"/>
    </sheetView>
  </sheetViews>
  <sheetFormatPr baseColWidth="10" defaultRowHeight="15" x14ac:dyDescent="0.25"/>
  <sheetData>
    <row r="1" spans="1:2" x14ac:dyDescent="0.25">
      <c r="A1" s="6" t="s">
        <v>3</v>
      </c>
      <c r="B1" s="7" t="s">
        <v>50</v>
      </c>
    </row>
    <row r="2" spans="1:2" x14ac:dyDescent="0.25">
      <c r="A2" s="6" t="s">
        <v>3</v>
      </c>
      <c r="B2" s="8" t="s">
        <v>51</v>
      </c>
    </row>
    <row r="3" spans="1:2" x14ac:dyDescent="0.25">
      <c r="A3" s="6" t="s">
        <v>2</v>
      </c>
      <c r="B3" s="7" t="s">
        <v>52</v>
      </c>
    </row>
    <row r="4" spans="1:2" x14ac:dyDescent="0.25">
      <c r="A4" s="6" t="s">
        <v>2</v>
      </c>
      <c r="B4" s="7" t="s">
        <v>53</v>
      </c>
    </row>
    <row r="5" spans="1:2" x14ac:dyDescent="0.25">
      <c r="A5" s="6" t="s">
        <v>2</v>
      </c>
      <c r="B5" s="7" t="s">
        <v>54</v>
      </c>
    </row>
    <row r="6" spans="1:2" x14ac:dyDescent="0.25">
      <c r="A6" s="6" t="s">
        <v>2</v>
      </c>
      <c r="B6" s="7" t="s">
        <v>55</v>
      </c>
    </row>
    <row r="7" spans="1:2" x14ac:dyDescent="0.25">
      <c r="A7" s="6" t="s">
        <v>2</v>
      </c>
      <c r="B7" s="7" t="s">
        <v>56</v>
      </c>
    </row>
    <row r="8" spans="1:2" x14ac:dyDescent="0.25">
      <c r="A8" s="6" t="s">
        <v>2</v>
      </c>
      <c r="B8" s="7" t="s">
        <v>57</v>
      </c>
    </row>
    <row r="9" spans="1:2" x14ac:dyDescent="0.25">
      <c r="A9" s="6" t="s">
        <v>2</v>
      </c>
      <c r="B9" s="7" t="s">
        <v>58</v>
      </c>
    </row>
    <row r="10" spans="1:2" x14ac:dyDescent="0.25">
      <c r="A10" s="6" t="s">
        <v>2</v>
      </c>
      <c r="B10" s="7" t="s">
        <v>59</v>
      </c>
    </row>
    <row r="11" spans="1:2" x14ac:dyDescent="0.25">
      <c r="A11" s="6" t="s">
        <v>2</v>
      </c>
      <c r="B11" s="7" t="s">
        <v>60</v>
      </c>
    </row>
    <row r="12" spans="1:2" x14ac:dyDescent="0.25">
      <c r="A12" s="6" t="s">
        <v>2</v>
      </c>
      <c r="B12" s="7" t="s">
        <v>61</v>
      </c>
    </row>
    <row r="13" spans="1:2" x14ac:dyDescent="0.25">
      <c r="A13" s="6" t="s">
        <v>2</v>
      </c>
      <c r="B13" s="7" t="s">
        <v>62</v>
      </c>
    </row>
    <row r="14" spans="1:2" x14ac:dyDescent="0.25">
      <c r="A14" s="6" t="s">
        <v>2</v>
      </c>
      <c r="B14" s="7" t="s">
        <v>63</v>
      </c>
    </row>
    <row r="15" spans="1:2" x14ac:dyDescent="0.25">
      <c r="A15" s="6" t="s">
        <v>2</v>
      </c>
      <c r="B15" s="8" t="s">
        <v>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4BF7B-79A8-4A90-81F6-59A460238A38}">
  <dimension ref="A1:B16"/>
  <sheetViews>
    <sheetView workbookViewId="0">
      <selection activeCell="B16" sqref="A1:B16"/>
    </sheetView>
  </sheetViews>
  <sheetFormatPr baseColWidth="10" defaultRowHeight="15" x14ac:dyDescent="0.25"/>
  <sheetData>
    <row r="1" spans="1:2" x14ac:dyDescent="0.25">
      <c r="A1" s="6" t="s">
        <v>2</v>
      </c>
      <c r="B1" s="7" t="s">
        <v>65</v>
      </c>
    </row>
    <row r="2" spans="1:2" x14ac:dyDescent="0.25">
      <c r="A2" s="6" t="s">
        <v>2</v>
      </c>
      <c r="B2" s="7" t="s">
        <v>66</v>
      </c>
    </row>
    <row r="3" spans="1:2" x14ac:dyDescent="0.25">
      <c r="A3" s="6" t="s">
        <v>2</v>
      </c>
      <c r="B3" s="7" t="s">
        <v>67</v>
      </c>
    </row>
    <row r="4" spans="1:2" x14ac:dyDescent="0.25">
      <c r="A4" s="6" t="s">
        <v>2</v>
      </c>
      <c r="B4" s="7" t="s">
        <v>68</v>
      </c>
    </row>
    <row r="5" spans="1:2" x14ac:dyDescent="0.25">
      <c r="A5" s="6" t="s">
        <v>2</v>
      </c>
      <c r="B5" s="7" t="s">
        <v>69</v>
      </c>
    </row>
    <row r="6" spans="1:2" x14ac:dyDescent="0.25">
      <c r="A6" s="6" t="s">
        <v>2</v>
      </c>
      <c r="B6" s="7" t="s">
        <v>70</v>
      </c>
    </row>
    <row r="7" spans="1:2" x14ac:dyDescent="0.25">
      <c r="A7" s="6" t="s">
        <v>2</v>
      </c>
      <c r="B7" s="7" t="s">
        <v>71</v>
      </c>
    </row>
    <row r="8" spans="1:2" x14ac:dyDescent="0.25">
      <c r="A8" s="6" t="s">
        <v>2</v>
      </c>
      <c r="B8" s="7" t="s">
        <v>72</v>
      </c>
    </row>
    <row r="9" spans="1:2" x14ac:dyDescent="0.25">
      <c r="A9" s="6" t="s">
        <v>2</v>
      </c>
      <c r="B9" s="7" t="s">
        <v>73</v>
      </c>
    </row>
    <row r="10" spans="1:2" x14ac:dyDescent="0.25">
      <c r="A10" s="6" t="s">
        <v>2</v>
      </c>
      <c r="B10" s="7" t="s">
        <v>74</v>
      </c>
    </row>
    <row r="11" spans="1:2" x14ac:dyDescent="0.25">
      <c r="A11" s="6" t="s">
        <v>2</v>
      </c>
      <c r="B11" s="7" t="s">
        <v>75</v>
      </c>
    </row>
    <row r="12" spans="1:2" x14ac:dyDescent="0.25">
      <c r="A12" s="6" t="s">
        <v>2</v>
      </c>
      <c r="B12" s="7" t="s">
        <v>76</v>
      </c>
    </row>
    <row r="13" spans="1:2" x14ac:dyDescent="0.25">
      <c r="A13" s="6" t="s">
        <v>2</v>
      </c>
      <c r="B13" s="7" t="s">
        <v>77</v>
      </c>
    </row>
    <row r="14" spans="1:2" x14ac:dyDescent="0.25">
      <c r="A14" s="6" t="s">
        <v>2</v>
      </c>
      <c r="B14" s="7" t="s">
        <v>78</v>
      </c>
    </row>
    <row r="15" spans="1:2" x14ac:dyDescent="0.25">
      <c r="A15" s="6" t="s">
        <v>2</v>
      </c>
      <c r="B15" s="8" t="s">
        <v>79</v>
      </c>
    </row>
    <row r="16" spans="1:2" x14ac:dyDescent="0.25">
      <c r="A16" s="6" t="s">
        <v>3</v>
      </c>
      <c r="B16" s="7"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Occurences</vt:lpstr>
      <vt:lpstr>Citations 2026</vt:lpstr>
      <vt:lpstr>Citations 2025</vt:lpstr>
      <vt:lpstr>Citations 2024</vt:lpstr>
      <vt:lpstr>Citations 2023</vt:lpstr>
      <vt:lpstr>Citations 2022</vt:lpstr>
      <vt:lpstr>Citations 2021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Ehl</dc:creator>
  <cp:lastModifiedBy>Robin Ehl</cp:lastModifiedBy>
  <dcterms:created xsi:type="dcterms:W3CDTF">2015-06-05T18:19:34Z</dcterms:created>
  <dcterms:modified xsi:type="dcterms:W3CDTF">2026-03-27T14:18:38Z</dcterms:modified>
</cp:coreProperties>
</file>